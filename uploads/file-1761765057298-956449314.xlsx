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A3ED544-0704-4CE7-A470-6F52EE117413}" xr6:coauthVersionLast="47" xr6:coauthVersionMax="47" xr10:uidLastSave="{00000000-0000-0000-0000-000000000000}"/>
  <bookViews>
    <workbookView xWindow="-120" yWindow="-120" windowWidth="20730" windowHeight="11040" xr2:uid="{F6D95E07-72CA-4FB2-A720-D2C57CCEB7B2}"/>
  </bookViews>
  <sheets>
    <sheet name="FY 2022-23" sheetId="1" r:id="rId1"/>
    <sheet name="FY 2023-24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3" l="1"/>
  <c r="O13" i="3"/>
  <c r="O14" i="3" s="1"/>
  <c r="P13" i="3"/>
  <c r="P14" i="3" s="1"/>
  <c r="Q13" i="3"/>
  <c r="Q14" i="3" s="1"/>
  <c r="R13" i="3"/>
  <c r="S13" i="3"/>
  <c r="T13" i="3"/>
  <c r="T14" i="3" s="1"/>
  <c r="N14" i="3"/>
  <c r="R14" i="3"/>
  <c r="S14" i="3"/>
  <c r="N28" i="2" l="1"/>
  <c r="J51" i="2"/>
  <c r="I51" i="2"/>
  <c r="G51" i="2"/>
  <c r="J37" i="2"/>
  <c r="J38" i="2"/>
  <c r="J39" i="2"/>
  <c r="J40" i="2"/>
  <c r="J41" i="2"/>
  <c r="J36" i="2"/>
  <c r="G37" i="2"/>
  <c r="G38" i="2"/>
  <c r="G39" i="2"/>
  <c r="G40" i="2"/>
  <c r="G41" i="2"/>
  <c r="G36" i="2"/>
  <c r="G42" i="2" s="1"/>
  <c r="I42" i="2"/>
  <c r="G19" i="2"/>
  <c r="I19" i="2"/>
  <c r="J19" i="2"/>
  <c r="G8" i="2"/>
  <c r="G9" i="2"/>
  <c r="G10" i="2"/>
  <c r="G11" i="2"/>
  <c r="G12" i="2"/>
  <c r="G13" i="2"/>
  <c r="G14" i="2"/>
  <c r="G15" i="2"/>
  <c r="G16" i="2"/>
  <c r="G17" i="2"/>
  <c r="G18" i="2"/>
  <c r="G7" i="2"/>
  <c r="E15" i="2"/>
  <c r="E16" i="2"/>
  <c r="E17" i="2"/>
  <c r="E18" i="2"/>
  <c r="E14" i="2"/>
  <c r="E19" i="1"/>
  <c r="G19" i="1"/>
  <c r="H19" i="1"/>
  <c r="E14" i="1"/>
  <c r="E15" i="1"/>
  <c r="E16" i="1"/>
  <c r="E17" i="1"/>
  <c r="E18" i="1"/>
  <c r="E13" i="1"/>
  <c r="J42" i="2" l="1"/>
</calcChain>
</file>

<file path=xl/sharedStrings.xml><?xml version="1.0" encoding="utf-8"?>
<sst xmlns="http://schemas.openxmlformats.org/spreadsheetml/2006/main" count="108" uniqueCount="51">
  <si>
    <t>TENANT</t>
  </si>
  <si>
    <t>SECURITI SCIENCES PRIVATE LIMITED</t>
  </si>
  <si>
    <t>MONTH</t>
  </si>
  <si>
    <t>AMOUNT</t>
  </si>
  <si>
    <t xml:space="preserve"> DUE DATE</t>
  </si>
  <si>
    <t>INTEREST-18%</t>
  </si>
  <si>
    <t>AMT TO BE PAID</t>
  </si>
  <si>
    <t>APR</t>
  </si>
  <si>
    <t>MAY</t>
  </si>
  <si>
    <t>JUNE</t>
  </si>
  <si>
    <t>JULY</t>
  </si>
  <si>
    <t>AUG</t>
  </si>
  <si>
    <t xml:space="preserve">SEP </t>
  </si>
  <si>
    <t>OCT</t>
  </si>
  <si>
    <t>NOV</t>
  </si>
  <si>
    <t>DEC</t>
  </si>
  <si>
    <t>JAN</t>
  </si>
  <si>
    <t>FEB</t>
  </si>
  <si>
    <t>MAR</t>
  </si>
  <si>
    <t>20-11-2022</t>
  </si>
  <si>
    <t>20-12-2022</t>
  </si>
  <si>
    <t>20-01-2023</t>
  </si>
  <si>
    <t>20-02-2023</t>
  </si>
  <si>
    <t>20-03-2023</t>
  </si>
  <si>
    <t>20-04-2023</t>
  </si>
  <si>
    <t>NO OF DAYS DELAY TILL NOW IE 30-09-2025</t>
  </si>
  <si>
    <t>GST AMT</t>
  </si>
  <si>
    <t>TOTAL</t>
  </si>
  <si>
    <t>20-05-2023</t>
  </si>
  <si>
    <t>20-06-2023</t>
  </si>
  <si>
    <t>20-07-2023</t>
  </si>
  <si>
    <t>20-08-2023</t>
  </si>
  <si>
    <t>20-09-2023</t>
  </si>
  <si>
    <t>20-11-2023</t>
  </si>
  <si>
    <t>20-12-2023</t>
  </si>
  <si>
    <t>20-01-2024</t>
  </si>
  <si>
    <t>20-02-2024</t>
  </si>
  <si>
    <t>20-03-2024</t>
  </si>
  <si>
    <t>20-04-2024</t>
  </si>
  <si>
    <t>AMT TO BE PAID INCL INT</t>
  </si>
  <si>
    <t>STUDIO 51 HYD PRIVATE LIMITED</t>
  </si>
  <si>
    <t>INVESTOR GROVES</t>
  </si>
  <si>
    <t>20-10-2024</t>
  </si>
  <si>
    <t>20-10-2023</t>
  </si>
  <si>
    <t>TOTAL GST PAYABLE</t>
  </si>
  <si>
    <t>z</t>
  </si>
  <si>
    <t>class 11</t>
  </si>
  <si>
    <t>heating appliances</t>
  </si>
  <si>
    <t>class 21</t>
  </si>
  <si>
    <t>home appliances</t>
  </si>
  <si>
    <t>BILL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</si>
</sst>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1" fillId="0" borderId="0" xfId="0" applyFont="1" applyAlignment="1">
      <alignment wrapText="1"/>
    </xf>
    <xf numFmtId="0" fontId="1" fillId="2" borderId="0" xfId="0" applyFont="1" applyFill="1"/>
    <xf numFmtId="1" fontId="1" fillId="2" borderId="0" xfId="0" applyNumberFormat="1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9315-25D8-4023-B612-EF45A90F7917}">
  <dimension ref="B2:H19"/>
  <sheetViews>
    <sheetView tabSelected="1" workbookViewId="0">
      <selection activeCell="G13" sqref="G13"/>
    </sheetView>
  </sheetViews>
  <sheetFormatPr defaultRowHeight="15" x14ac:dyDescent="0.25"/>
  <cols>
    <col min="3" max="3" width="12" customWidth="1"/>
    <col min="4" max="5" width="12.5703125" customWidth="1"/>
    <col min="6" max="6" width="18.85546875" customWidth="1"/>
    <col min="7" max="7" width="16.28515625" customWidth="1"/>
    <col min="8" max="8" width="16.5703125" customWidth="1"/>
  </cols>
  <sheetData>
    <row r="2" spans="2:8" x14ac:dyDescent="0.25">
      <c r="B2" s="1" t="s">
        <v>0</v>
      </c>
      <c r="C2" t="s">
        <v>1</v>
      </c>
    </row>
    <row r="5" spans="2:8" ht="45" x14ac:dyDescent="0.25">
      <c r="B5" s="1" t="s">
        <v>2</v>
      </c>
      <c r="C5" s="1" t="s">
        <v>3</v>
      </c>
      <c r="D5" s="1" t="s">
        <v>4</v>
      </c>
      <c r="E5" s="1" t="s">
        <v>26</v>
      </c>
      <c r="F5" s="5" t="s">
        <v>25</v>
      </c>
      <c r="G5" s="1" t="s">
        <v>5</v>
      </c>
      <c r="H5" s="1" t="s">
        <v>6</v>
      </c>
    </row>
    <row r="7" spans="2:8" x14ac:dyDescent="0.25"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2:8" x14ac:dyDescent="0.25"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2:8" x14ac:dyDescent="0.25"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2:8" x14ac:dyDescent="0.25"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2:8" x14ac:dyDescent="0.25"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2:8" x14ac:dyDescent="0.25"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2:8" x14ac:dyDescent="0.25">
      <c r="B13" t="s">
        <v>13</v>
      </c>
      <c r="C13">
        <v>216670</v>
      </c>
      <c r="D13" t="s">
        <v>19</v>
      </c>
      <c r="E13" s="2">
        <f>C13*18%</f>
        <v>39000.6</v>
      </c>
      <c r="F13">
        <v>1045</v>
      </c>
      <c r="G13" s="2">
        <v>20098.87</v>
      </c>
      <c r="H13" s="2">
        <v>59099.87</v>
      </c>
    </row>
    <row r="14" spans="2:8" x14ac:dyDescent="0.25">
      <c r="B14" t="s">
        <v>14</v>
      </c>
      <c r="C14">
        <v>260000</v>
      </c>
      <c r="D14" t="s">
        <v>20</v>
      </c>
      <c r="E14" s="2">
        <f t="shared" ref="E14:E18" si="0">C14*18%</f>
        <v>46800</v>
      </c>
      <c r="F14">
        <v>1015</v>
      </c>
      <c r="G14" s="2">
        <v>23425.64</v>
      </c>
      <c r="H14" s="2">
        <v>70225.64</v>
      </c>
    </row>
    <row r="15" spans="2:8" x14ac:dyDescent="0.25">
      <c r="B15" t="s">
        <v>15</v>
      </c>
      <c r="C15">
        <v>260000</v>
      </c>
      <c r="D15" t="s">
        <v>21</v>
      </c>
      <c r="E15" s="2">
        <f t="shared" si="0"/>
        <v>46800</v>
      </c>
      <c r="F15">
        <v>984</v>
      </c>
      <c r="G15" s="2">
        <v>22710.18</v>
      </c>
      <c r="H15" s="2">
        <v>69510.179999999993</v>
      </c>
    </row>
    <row r="16" spans="2:8" x14ac:dyDescent="0.25">
      <c r="B16" t="s">
        <v>16</v>
      </c>
      <c r="C16">
        <v>260000</v>
      </c>
      <c r="D16" t="s">
        <v>22</v>
      </c>
      <c r="E16" s="2">
        <f t="shared" si="0"/>
        <v>46800</v>
      </c>
      <c r="F16">
        <v>953</v>
      </c>
      <c r="G16" s="2">
        <v>21994.720000000001</v>
      </c>
      <c r="H16" s="2">
        <v>68794.720000000001</v>
      </c>
    </row>
    <row r="17" spans="2:8" x14ac:dyDescent="0.25">
      <c r="B17" t="s">
        <v>17</v>
      </c>
      <c r="C17">
        <v>260000</v>
      </c>
      <c r="D17" t="s">
        <v>23</v>
      </c>
      <c r="E17" s="2">
        <f t="shared" si="0"/>
        <v>46800</v>
      </c>
      <c r="F17">
        <v>925</v>
      </c>
      <c r="G17" s="2">
        <v>21348.49</v>
      </c>
      <c r="H17" s="2">
        <v>68148.490000000005</v>
      </c>
    </row>
    <row r="18" spans="2:8" x14ac:dyDescent="0.25">
      <c r="B18" t="s">
        <v>18</v>
      </c>
      <c r="C18">
        <v>260000</v>
      </c>
      <c r="D18" t="s">
        <v>24</v>
      </c>
      <c r="E18" s="2">
        <f t="shared" si="0"/>
        <v>46800</v>
      </c>
      <c r="F18">
        <v>894</v>
      </c>
      <c r="G18" s="2">
        <v>20633.03</v>
      </c>
      <c r="H18" s="2">
        <v>67433.03</v>
      </c>
    </row>
    <row r="19" spans="2:8" x14ac:dyDescent="0.25">
      <c r="E19" s="2">
        <f>SUM(E13:E18)</f>
        <v>273000.59999999998</v>
      </c>
      <c r="F19" s="3" t="s">
        <v>27</v>
      </c>
      <c r="G19" s="4">
        <f>SUM(G13:G18)</f>
        <v>130210.93000000001</v>
      </c>
      <c r="H19" s="4">
        <f>SUM(H13:H18)</f>
        <v>403211.93000000005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79FA-D26C-46B9-9833-09E4DFF0574E}">
  <dimension ref="D2:N51"/>
  <sheetViews>
    <sheetView workbookViewId="0">
      <selection activeCell="N28" sqref="N28"/>
    </sheetView>
  </sheetViews>
  <sheetFormatPr defaultRowHeight="15" x14ac:dyDescent="0.25"/>
  <cols>
    <col min="5" max="5" width="10.140625" customWidth="1"/>
    <col min="6" max="6" width="10.85546875" customWidth="1"/>
    <col min="7" max="7" width="13" customWidth="1"/>
    <col min="8" max="8" width="14.140625" customWidth="1"/>
    <col min="9" max="9" width="13.5703125" bestFit="1" customWidth="1"/>
    <col min="10" max="10" width="16.140625" customWidth="1"/>
    <col min="14" max="14" width="18.5703125" customWidth="1"/>
  </cols>
  <sheetData>
    <row r="2" spans="4:10" x14ac:dyDescent="0.25">
      <c r="D2" s="1" t="s">
        <v>0</v>
      </c>
      <c r="E2" t="s">
        <v>1</v>
      </c>
    </row>
    <row r="5" spans="4:10" ht="60" x14ac:dyDescent="0.25">
      <c r="D5" s="1" t="s">
        <v>2</v>
      </c>
      <c r="E5" s="1" t="s">
        <v>3</v>
      </c>
      <c r="F5" s="1" t="s">
        <v>4</v>
      </c>
      <c r="G5" s="1" t="s">
        <v>26</v>
      </c>
      <c r="H5" s="5" t="s">
        <v>25</v>
      </c>
      <c r="I5" s="1" t="s">
        <v>5</v>
      </c>
      <c r="J5" s="5" t="s">
        <v>39</v>
      </c>
    </row>
    <row r="7" spans="4:10" x14ac:dyDescent="0.25">
      <c r="D7" t="s">
        <v>7</v>
      </c>
      <c r="E7">
        <v>260000</v>
      </c>
      <c r="F7" t="s">
        <v>28</v>
      </c>
      <c r="G7">
        <f>E7*18%</f>
        <v>46800</v>
      </c>
      <c r="H7">
        <v>864</v>
      </c>
      <c r="I7">
        <v>19940.650000000001</v>
      </c>
      <c r="J7">
        <v>66740.649999999994</v>
      </c>
    </row>
    <row r="8" spans="4:10" x14ac:dyDescent="0.25">
      <c r="D8" t="s">
        <v>8</v>
      </c>
      <c r="E8">
        <v>260000</v>
      </c>
      <c r="F8" t="s">
        <v>29</v>
      </c>
      <c r="G8">
        <f t="shared" ref="G8:G18" si="0">E8*18%</f>
        <v>46800</v>
      </c>
      <c r="H8">
        <v>833</v>
      </c>
      <c r="I8">
        <v>19225.18</v>
      </c>
      <c r="J8">
        <v>66025.179999999993</v>
      </c>
    </row>
    <row r="9" spans="4:10" x14ac:dyDescent="0.25">
      <c r="D9" t="s">
        <v>9</v>
      </c>
      <c r="E9">
        <v>260000</v>
      </c>
      <c r="F9" t="s">
        <v>30</v>
      </c>
      <c r="G9">
        <f t="shared" si="0"/>
        <v>46800</v>
      </c>
      <c r="H9">
        <v>803</v>
      </c>
      <c r="I9">
        <v>18532.8</v>
      </c>
      <c r="J9">
        <v>65332.800000000003</v>
      </c>
    </row>
    <row r="10" spans="4:10" x14ac:dyDescent="0.25">
      <c r="D10" t="s">
        <v>10</v>
      </c>
      <c r="E10">
        <v>260000</v>
      </c>
      <c r="F10" t="s">
        <v>31</v>
      </c>
      <c r="G10">
        <f t="shared" si="0"/>
        <v>46800</v>
      </c>
      <c r="H10">
        <v>772</v>
      </c>
      <c r="I10">
        <v>17817.34</v>
      </c>
      <c r="J10">
        <v>64617.34</v>
      </c>
    </row>
    <row r="11" spans="4:10" x14ac:dyDescent="0.25">
      <c r="D11" t="s">
        <v>11</v>
      </c>
      <c r="E11">
        <v>260000</v>
      </c>
      <c r="F11" t="s">
        <v>32</v>
      </c>
      <c r="G11">
        <f t="shared" si="0"/>
        <v>46800</v>
      </c>
      <c r="H11">
        <v>741</v>
      </c>
      <c r="I11">
        <v>17101.87</v>
      </c>
      <c r="J11">
        <v>63901.87</v>
      </c>
    </row>
    <row r="12" spans="4:10" x14ac:dyDescent="0.25">
      <c r="D12" t="s">
        <v>12</v>
      </c>
      <c r="E12">
        <v>260000</v>
      </c>
      <c r="F12" t="s">
        <v>43</v>
      </c>
      <c r="G12">
        <f t="shared" si="0"/>
        <v>46800</v>
      </c>
      <c r="H12">
        <v>711</v>
      </c>
      <c r="I12">
        <v>16409.490000000002</v>
      </c>
      <c r="J12">
        <v>63209.49</v>
      </c>
    </row>
    <row r="13" spans="4:10" x14ac:dyDescent="0.25">
      <c r="D13" t="s">
        <v>13</v>
      </c>
      <c r="E13">
        <v>260000</v>
      </c>
      <c r="F13" t="s">
        <v>33</v>
      </c>
      <c r="G13">
        <f t="shared" si="0"/>
        <v>46800</v>
      </c>
      <c r="H13">
        <v>680</v>
      </c>
      <c r="I13">
        <v>15694.03</v>
      </c>
      <c r="J13">
        <v>62494.03</v>
      </c>
    </row>
    <row r="14" spans="4:10" x14ac:dyDescent="0.25">
      <c r="D14" t="s">
        <v>14</v>
      </c>
      <c r="E14">
        <f>259200+21600</f>
        <v>280800</v>
      </c>
      <c r="F14" t="s">
        <v>34</v>
      </c>
      <c r="G14">
        <f t="shared" si="0"/>
        <v>50544</v>
      </c>
      <c r="H14">
        <v>650</v>
      </c>
      <c r="I14">
        <v>16201.78</v>
      </c>
      <c r="J14">
        <v>66745.78</v>
      </c>
    </row>
    <row r="15" spans="4:10" x14ac:dyDescent="0.25">
      <c r="D15" t="s">
        <v>15</v>
      </c>
      <c r="E15">
        <f t="shared" ref="E15:E18" si="1">259200+21600</f>
        <v>280800</v>
      </c>
      <c r="F15" t="s">
        <v>35</v>
      </c>
      <c r="G15">
        <f t="shared" si="0"/>
        <v>50544</v>
      </c>
      <c r="H15">
        <v>619</v>
      </c>
      <c r="I15">
        <v>15429.08</v>
      </c>
      <c r="J15">
        <v>65973.08</v>
      </c>
    </row>
    <row r="16" spans="4:10" x14ac:dyDescent="0.25">
      <c r="D16" t="s">
        <v>16</v>
      </c>
      <c r="E16">
        <f t="shared" si="1"/>
        <v>280800</v>
      </c>
      <c r="F16" t="s">
        <v>36</v>
      </c>
      <c r="G16">
        <f t="shared" si="0"/>
        <v>50544</v>
      </c>
      <c r="H16">
        <v>588</v>
      </c>
      <c r="I16">
        <v>14656.38</v>
      </c>
      <c r="J16">
        <v>65200.38</v>
      </c>
    </row>
    <row r="17" spans="4:14" x14ac:dyDescent="0.25">
      <c r="D17" t="s">
        <v>17</v>
      </c>
      <c r="E17">
        <f t="shared" si="1"/>
        <v>280800</v>
      </c>
      <c r="F17" t="s">
        <v>37</v>
      </c>
      <c r="G17">
        <f t="shared" si="0"/>
        <v>50544</v>
      </c>
      <c r="H17">
        <v>559</v>
      </c>
      <c r="I17">
        <v>13933.53</v>
      </c>
      <c r="J17">
        <v>64477.53</v>
      </c>
    </row>
    <row r="18" spans="4:14" x14ac:dyDescent="0.25">
      <c r="D18" t="s">
        <v>18</v>
      </c>
      <c r="E18">
        <f t="shared" si="1"/>
        <v>280800</v>
      </c>
      <c r="F18" t="s">
        <v>38</v>
      </c>
      <c r="G18">
        <f t="shared" si="0"/>
        <v>50544</v>
      </c>
      <c r="H18">
        <v>528</v>
      </c>
      <c r="I18">
        <v>13160.83</v>
      </c>
      <c r="J18">
        <v>63704.83</v>
      </c>
    </row>
    <row r="19" spans="4:14" x14ac:dyDescent="0.25">
      <c r="G19">
        <f>SUM(G7:G18)</f>
        <v>580320</v>
      </c>
      <c r="H19" s="3" t="s">
        <v>27</v>
      </c>
      <c r="I19" s="3">
        <f>SUM(I7:I18)</f>
        <v>198102.96</v>
      </c>
      <c r="J19" s="3">
        <f>SUM(J7:J18)</f>
        <v>778422.96</v>
      </c>
    </row>
    <row r="25" spans="4:14" x14ac:dyDescent="0.25">
      <c r="D25" s="1" t="s">
        <v>0</v>
      </c>
      <c r="E25" t="s">
        <v>40</v>
      </c>
    </row>
    <row r="27" spans="4:14" x14ac:dyDescent="0.25">
      <c r="N27" s="6" t="s">
        <v>44</v>
      </c>
    </row>
    <row r="28" spans="4:14" ht="60" x14ac:dyDescent="0.25">
      <c r="D28" s="1" t="s">
        <v>2</v>
      </c>
      <c r="E28" s="1" t="s">
        <v>3</v>
      </c>
      <c r="F28" s="1" t="s">
        <v>4</v>
      </c>
      <c r="G28" s="1" t="s">
        <v>26</v>
      </c>
      <c r="H28" s="5" t="s">
        <v>25</v>
      </c>
      <c r="I28" s="1" t="s">
        <v>5</v>
      </c>
      <c r="J28" s="5" t="s">
        <v>39</v>
      </c>
      <c r="N28" s="7">
        <f>J19+J42+'FY 2022-23'!H19+J42</f>
        <v>1834074.8900000001</v>
      </c>
    </row>
    <row r="30" spans="4:14" x14ac:dyDescent="0.25"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4:14" x14ac:dyDescent="0.25">
      <c r="D31" t="s">
        <v>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4:14" x14ac:dyDescent="0.25">
      <c r="D32" t="s">
        <v>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4:14" x14ac:dyDescent="0.25">
      <c r="D33" t="s">
        <v>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4:14" x14ac:dyDescent="0.25">
      <c r="D34" t="s">
        <v>11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4:14" x14ac:dyDescent="0.25">
      <c r="D35" t="s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4:14" x14ac:dyDescent="0.25">
      <c r="D36" t="s">
        <v>13</v>
      </c>
      <c r="E36">
        <v>220000</v>
      </c>
      <c r="F36" t="s">
        <v>33</v>
      </c>
      <c r="G36">
        <f>E36*18%</f>
        <v>39600</v>
      </c>
      <c r="H36">
        <v>680</v>
      </c>
      <c r="I36">
        <v>13338</v>
      </c>
      <c r="J36">
        <f>G36+I36</f>
        <v>52938</v>
      </c>
      <c r="N36" t="s">
        <v>45</v>
      </c>
    </row>
    <row r="37" spans="4:14" x14ac:dyDescent="0.25">
      <c r="D37" t="s">
        <v>14</v>
      </c>
      <c r="E37">
        <v>220000</v>
      </c>
      <c r="F37" t="s">
        <v>34</v>
      </c>
      <c r="G37">
        <f t="shared" ref="G37:G41" si="2">E37*18%</f>
        <v>39600</v>
      </c>
      <c r="H37">
        <v>650</v>
      </c>
      <c r="I37">
        <v>12720</v>
      </c>
      <c r="J37">
        <f t="shared" ref="J37:J41" si="3">G37+I37</f>
        <v>52320</v>
      </c>
    </row>
    <row r="38" spans="4:14" x14ac:dyDescent="0.25">
      <c r="D38" t="s">
        <v>15</v>
      </c>
      <c r="E38">
        <v>220000</v>
      </c>
      <c r="F38" t="s">
        <v>35</v>
      </c>
      <c r="G38">
        <f t="shared" si="2"/>
        <v>39600</v>
      </c>
      <c r="H38">
        <v>619</v>
      </c>
      <c r="I38">
        <v>12119</v>
      </c>
      <c r="J38">
        <f t="shared" si="3"/>
        <v>51719</v>
      </c>
    </row>
    <row r="39" spans="4:14" x14ac:dyDescent="0.25">
      <c r="D39" t="s">
        <v>16</v>
      </c>
      <c r="E39">
        <v>253000</v>
      </c>
      <c r="F39" t="s">
        <v>36</v>
      </c>
      <c r="G39">
        <f t="shared" si="2"/>
        <v>45540</v>
      </c>
      <c r="H39">
        <v>588</v>
      </c>
      <c r="I39">
        <v>13209</v>
      </c>
      <c r="J39">
        <f t="shared" si="3"/>
        <v>58749</v>
      </c>
    </row>
    <row r="40" spans="4:14" x14ac:dyDescent="0.25">
      <c r="D40" t="s">
        <v>17</v>
      </c>
      <c r="E40">
        <v>242000</v>
      </c>
      <c r="F40" t="s">
        <v>37</v>
      </c>
      <c r="G40">
        <f t="shared" si="2"/>
        <v>43560</v>
      </c>
      <c r="H40">
        <v>559</v>
      </c>
      <c r="I40">
        <v>12021</v>
      </c>
      <c r="J40">
        <f t="shared" si="3"/>
        <v>55581</v>
      </c>
    </row>
    <row r="41" spans="4:14" x14ac:dyDescent="0.25">
      <c r="D41" t="s">
        <v>18</v>
      </c>
      <c r="E41">
        <v>242000</v>
      </c>
      <c r="F41" t="s">
        <v>38</v>
      </c>
      <c r="G41">
        <f t="shared" si="2"/>
        <v>43560</v>
      </c>
      <c r="H41">
        <v>528</v>
      </c>
      <c r="I41">
        <v>11353</v>
      </c>
      <c r="J41">
        <f t="shared" si="3"/>
        <v>54913</v>
      </c>
    </row>
    <row r="42" spans="4:14" x14ac:dyDescent="0.25">
      <c r="G42">
        <f>SUM(G30:G41)</f>
        <v>251460</v>
      </c>
      <c r="H42" s="3" t="s">
        <v>27</v>
      </c>
      <c r="I42" s="3">
        <f>SUM(I30:I41)</f>
        <v>74760</v>
      </c>
      <c r="J42" s="3">
        <f>SUM(J30:J41)</f>
        <v>326220</v>
      </c>
    </row>
    <row r="47" spans="4:14" x14ac:dyDescent="0.25">
      <c r="D47" s="1" t="s">
        <v>0</v>
      </c>
      <c r="E47" t="s">
        <v>41</v>
      </c>
    </row>
    <row r="49" spans="4:10" ht="60" x14ac:dyDescent="0.25">
      <c r="D49" s="1" t="s">
        <v>2</v>
      </c>
      <c r="E49" s="1" t="s">
        <v>3</v>
      </c>
      <c r="F49" s="1" t="s">
        <v>4</v>
      </c>
      <c r="G49" s="1" t="s">
        <v>26</v>
      </c>
      <c r="H49" s="5" t="s">
        <v>25</v>
      </c>
      <c r="I49" s="1" t="s">
        <v>5</v>
      </c>
      <c r="J49" s="5" t="s">
        <v>39</v>
      </c>
    </row>
    <row r="51" spans="4:10" x14ac:dyDescent="0.25">
      <c r="D51" t="s">
        <v>12</v>
      </c>
      <c r="E51">
        <v>1260000</v>
      </c>
      <c r="F51" t="s">
        <v>42</v>
      </c>
      <c r="G51">
        <f>E51*18%</f>
        <v>226800</v>
      </c>
      <c r="H51">
        <v>710</v>
      </c>
      <c r="I51" s="2">
        <f>G51*18%*H51/365</f>
        <v>79411.068493150684</v>
      </c>
      <c r="J51" s="2">
        <f>G51+I51</f>
        <v>306211.0684931507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8747-F652-47ED-810B-5AE71F8FE8E1}">
  <dimension ref="H7:T14"/>
  <sheetViews>
    <sheetView workbookViewId="0">
      <selection activeCell="L9" sqref="L9:T17"/>
    </sheetView>
  </sheetViews>
  <sheetFormatPr defaultRowHeight="15" x14ac:dyDescent="0.25"/>
  <sheetData>
    <row r="7" spans="8:20" x14ac:dyDescent="0.25">
      <c r="H7" t="s">
        <v>46</v>
      </c>
      <c r="I7" t="s">
        <v>47</v>
      </c>
    </row>
    <row r="8" spans="8:20" x14ac:dyDescent="0.25">
      <c r="H8" t="s">
        <v>48</v>
      </c>
      <c r="I8" t="s">
        <v>49</v>
      </c>
      <c r="K8" s="8">
        <v>0.8</v>
      </c>
    </row>
    <row r="11" spans="8:20" x14ac:dyDescent="0.25">
      <c r="M11" t="s">
        <v>50</v>
      </c>
      <c r="N11">
        <v>565</v>
      </c>
    </row>
    <row r="12" spans="8:20" x14ac:dyDescent="0.25">
      <c r="N12">
        <v>48680</v>
      </c>
      <c r="O12">
        <v>49720</v>
      </c>
      <c r="P12">
        <v>47560</v>
      </c>
      <c r="Q12">
        <v>45900</v>
      </c>
      <c r="R12">
        <v>46250</v>
      </c>
      <c r="S12">
        <v>43290</v>
      </c>
      <c r="T12">
        <v>18670</v>
      </c>
    </row>
    <row r="13" spans="8:20" x14ac:dyDescent="0.25">
      <c r="N13" s="2">
        <f>N12*100/118</f>
        <v>41254.237288135591</v>
      </c>
      <c r="O13" s="2">
        <f t="shared" ref="O13:Q13" si="0">O12*100/118</f>
        <v>42135.593220338982</v>
      </c>
      <c r="P13" s="2">
        <f t="shared" si="0"/>
        <v>40305.08474576271</v>
      </c>
      <c r="Q13" s="2">
        <f t="shared" si="0"/>
        <v>38898.305084745763</v>
      </c>
      <c r="R13" s="2">
        <f t="shared" ref="R13" si="1">R12*100/118</f>
        <v>39194.91525423729</v>
      </c>
      <c r="S13" s="2">
        <f t="shared" ref="S13:T13" si="2">S12*100/118</f>
        <v>36686.4406779661</v>
      </c>
      <c r="T13" s="2">
        <f t="shared" si="2"/>
        <v>15822.033898305084</v>
      </c>
    </row>
    <row r="14" spans="8:20" x14ac:dyDescent="0.25">
      <c r="N14" s="2">
        <f>N12-N13</f>
        <v>7425.7627118644086</v>
      </c>
      <c r="O14" s="2">
        <f t="shared" ref="O14:P14" si="3">O12-O13</f>
        <v>7584.4067796610179</v>
      </c>
      <c r="P14" s="2">
        <f t="shared" si="3"/>
        <v>7254.9152542372904</v>
      </c>
      <c r="Q14" s="2">
        <f t="shared" ref="Q14" si="4">Q12-Q13</f>
        <v>7001.6949152542365</v>
      </c>
      <c r="R14" s="2">
        <f t="shared" ref="R14" si="5">R12-R13</f>
        <v>7055.0847457627096</v>
      </c>
      <c r="S14" s="2">
        <f t="shared" ref="S14:T14" si="6">S12-S13</f>
        <v>6603.5593220338997</v>
      </c>
      <c r="T14" s="2">
        <f t="shared" si="6"/>
        <v>2847.9661016949158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 2022-23</vt:lpstr>
      <vt:lpstr>FY 2023-24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2025-09-29T05:54:08Z</dcterms:created>
  <dcterms:modified xsi:type="dcterms:W3CDTF">2025-10-29T13:06:11Z</dcterms:modified>
</cp:coreProperties>
</file>